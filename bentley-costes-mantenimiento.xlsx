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nual" sheetId="1" state="visible" r:id="rId1"/>
    <sheet xmlns:r="http://schemas.openxmlformats.org/officeDocument/2006/relationships" name="Combustible Trayectos" sheetId="2" state="visible" r:id="rId2"/>
    <sheet xmlns:r="http://schemas.openxmlformats.org/officeDocument/2006/relationships" name="Calendario Mantenimiento" sheetId="3" state="visible" r:id="rId3"/>
    <sheet xmlns:r="http://schemas.openxmlformats.org/officeDocument/2006/relationships" name="Registro Mensual" sheetId="4" state="visible" r:id="rId4"/>
    <sheet xmlns:r="http://schemas.openxmlformats.org/officeDocument/2006/relationships" name="Coste por Kilometraje" sheetId="5" state="visible" r:id="rId5"/>
    <sheet xmlns:r="http://schemas.openxmlformats.org/officeDocument/2006/relationships" name="Notas y Contac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€"/>
    <numFmt numFmtId="165" formatCode="0.00 €"/>
    <numFmt numFmtId="166" formatCode="0.0 &quot;L&quot;"/>
    <numFmt numFmtId="167" formatCode="#,##0 €"/>
    <numFmt numFmtId="168" formatCode="#,##0 &quot;km&quot;"/>
    <numFmt numFmtId="169" formatCode="0.00 &quot;€/km&quot;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  <color rgb="00FFFFFF"/>
    </font>
    <font>
      <b val="1"/>
      <sz val="12"/>
    </font>
    <font>
      <b val="1"/>
    </font>
    <font>
      <color rgb="009C0006"/>
    </font>
    <font>
      <b val="1"/>
      <color rgb="00006100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5" fillId="5" borderId="0" pivotButton="0" quotePrefix="0" xfId="0"/>
    <xf numFmtId="164" fontId="5" fillId="5" borderId="0" pivotButton="0" quotePrefix="0" xfId="0"/>
    <xf numFmtId="0" fontId="3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8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BENTLEY FLYING SPUR 2006 - COSTES ANUALES</t>
        </is>
      </c>
    </row>
    <row r="3">
      <c r="A3" s="2" t="inlineStr">
        <is>
          <t>CONCEPTO</t>
        </is>
      </c>
      <c r="B3" s="2" t="inlineStr">
        <is>
          <t>COSTE MÍNIMO</t>
        </is>
      </c>
      <c r="C3" s="2" t="inlineStr">
        <is>
          <t>COSTE MÁXIMO</t>
        </is>
      </c>
      <c r="D3" s="2" t="inlineStr">
        <is>
          <t>PROMEDIO</t>
        </is>
      </c>
      <c r="E3" s="2" t="inlineStr">
        <is>
          <t>NOTAS</t>
        </is>
      </c>
    </row>
    <row r="4">
      <c r="A4" t="inlineStr">
        <is>
          <t>COMBUSTIBLE (10.000 km/año)</t>
        </is>
      </c>
      <c r="B4" s="3" t="n">
        <v>2800</v>
      </c>
      <c r="C4" s="3" t="n">
        <v>3500</v>
      </c>
      <c r="D4" s="3">
        <f>AVERAGE(B4:C4)</f>
        <v/>
      </c>
      <c r="E4" t="inlineStr">
        <is>
          <t>Gasolina 98 ~1.75€/L</t>
        </is>
      </c>
    </row>
    <row r="5">
      <c r="A5" t="inlineStr">
        <is>
          <t>Mantenimiento y Revisiones</t>
        </is>
      </c>
      <c r="B5" s="3" t="n">
        <v>1200</v>
      </c>
      <c r="C5" s="3" t="n">
        <v>2800</v>
      </c>
      <c r="D5" s="3">
        <f>AVERAGE(B5:C5)</f>
        <v/>
      </c>
      <c r="E5" t="inlineStr">
        <is>
          <t>Service A + Service B alternados</t>
        </is>
      </c>
    </row>
    <row r="6">
      <c r="A6" t="inlineStr">
        <is>
          <t>Neumáticos (amortizado)</t>
        </is>
      </c>
      <c r="B6" s="3" t="n">
        <v>300</v>
      </c>
      <c r="C6" s="3" t="n">
        <v>400</v>
      </c>
      <c r="D6" s="3">
        <f>AVERAGE(B6:C6)</f>
        <v/>
      </c>
      <c r="E6" t="inlineStr">
        <is>
          <t>Cambio cada 3-4 años</t>
        </is>
      </c>
    </row>
    <row r="7">
      <c r="A7" t="inlineStr">
        <is>
          <t>Frenos (amortizado)</t>
        </is>
      </c>
      <c r="B7" s="3" t="n">
        <v>300</v>
      </c>
      <c r="C7" s="3" t="n">
        <v>500</v>
      </c>
      <c r="D7" s="3">
        <f>AVERAGE(B7:C7)</f>
        <v/>
      </c>
      <c r="E7" t="inlineStr">
        <is>
          <t>Cambio cada 3-4 años</t>
        </is>
      </c>
    </row>
    <row r="8">
      <c r="A8" t="inlineStr">
        <is>
          <t>Seguro (Todo Riesgo)</t>
        </is>
      </c>
      <c r="B8" s="3" t="n">
        <v>1500</v>
      </c>
      <c r="C8" s="3" t="n">
        <v>2500</v>
      </c>
      <c r="D8" s="3">
        <f>AVERAGE(B8:C8)</f>
        <v/>
      </c>
      <c r="E8" t="inlineStr">
        <is>
          <t>Según perfil y compañía</t>
        </is>
      </c>
    </row>
    <row r="9">
      <c r="A9" t="inlineStr">
        <is>
          <t>Impuesto de Circulación</t>
        </is>
      </c>
      <c r="B9" s="3" t="n">
        <v>150</v>
      </c>
      <c r="C9" s="3" t="n">
        <v>220</v>
      </c>
      <c r="D9" s="3">
        <f>AVERAGE(B9:C9)</f>
        <v/>
      </c>
      <c r="E9" t="inlineStr">
        <is>
          <t>Variable según municipio</t>
        </is>
      </c>
    </row>
    <row r="10">
      <c r="A10" t="inlineStr">
        <is>
          <t>Batería (amortizado)</t>
        </is>
      </c>
      <c r="B10" s="3" t="n">
        <v>40</v>
      </c>
      <c r="C10" s="3" t="n">
        <v>60</v>
      </c>
      <c r="D10" s="3">
        <f>AVERAGE(B10:C10)</f>
        <v/>
      </c>
      <c r="E10" t="inlineStr">
        <is>
          <t>Cambio cada 4-6 años</t>
        </is>
      </c>
    </row>
    <row r="11">
      <c r="A11" t="inlineStr">
        <is>
          <t>Imprevistos (10% reserva)</t>
        </is>
      </c>
      <c r="B11" s="3" t="n">
        <v>400</v>
      </c>
      <c r="C11" s="3" t="n">
        <v>600</v>
      </c>
      <c r="D11" s="3">
        <f>AVERAGE(B11:C11)</f>
        <v/>
      </c>
      <c r="E11" t="inlineStr">
        <is>
          <t>Reparaciones no planificadas</t>
        </is>
      </c>
    </row>
    <row r="12">
      <c r="A12" s="4" t="inlineStr">
        <is>
          <t>TOTAL ANUAL</t>
        </is>
      </c>
      <c r="B12" s="5">
        <f>SUM(B4:B11)</f>
        <v/>
      </c>
      <c r="C12" s="5">
        <f>SUM(C4:C11)</f>
        <v/>
      </c>
      <c r="D12" s="5">
        <f>AVERAGE(B12:C12)</f>
        <v/>
      </c>
    </row>
    <row r="13">
      <c r="B13" s="3" t="n"/>
      <c r="C13" s="3" t="n"/>
      <c r="D13" s="3" t="n"/>
    </row>
    <row r="14">
      <c r="A14" s="6" t="inlineStr">
        <is>
          <t>COSTE MENSUAL PROMEDIO</t>
        </is>
      </c>
      <c r="B14" s="7">
        <f>B12/12</f>
        <v/>
      </c>
      <c r="C14" s="7">
        <f>C12/12</f>
        <v/>
      </c>
      <c r="D14" s="7">
        <f>D12/12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CÁLCULO DE COMBUSTIBLE POR TRAYECTO</t>
        </is>
      </c>
    </row>
    <row r="3">
      <c r="A3" s="8" t="inlineStr">
        <is>
          <t>PARÁMETROS</t>
        </is>
      </c>
    </row>
    <row r="4">
      <c r="A4" t="inlineStr">
        <is>
          <t>Precio gasolina 98 (€/L):</t>
        </is>
      </c>
      <c r="B4" s="9" t="n">
        <v>1.75</v>
      </c>
    </row>
    <row r="5">
      <c r="A5" t="inlineStr">
        <is>
          <t>Consumo autopista (L/100km):</t>
        </is>
      </c>
      <c r="B5" t="n">
        <v>15</v>
      </c>
    </row>
    <row r="6">
      <c r="A6" t="inlineStr">
        <is>
          <t>Consumo ciudad (L/100km):</t>
        </is>
      </c>
      <c r="B6" t="n">
        <v>22</v>
      </c>
    </row>
    <row r="8">
      <c r="A8" s="2" t="inlineStr">
        <is>
          <t>TRAYECTO</t>
        </is>
      </c>
      <c r="B8" s="2" t="inlineStr">
        <is>
          <t>DISTANCIA (km)</t>
        </is>
      </c>
      <c r="C8" s="2" t="inlineStr">
        <is>
          <t>TIPO RUTA</t>
        </is>
      </c>
      <c r="D8" s="2" t="inlineStr">
        <is>
          <t>CONSUMO (L/100km)</t>
        </is>
      </c>
      <c r="E8" s="2" t="inlineStr">
        <is>
          <t>LITROS IDA</t>
        </is>
      </c>
      <c r="F8" s="2" t="inlineStr">
        <is>
          <t>COSTE IDA</t>
        </is>
      </c>
      <c r="G8" s="2" t="inlineStr">
        <is>
          <t>COSTE IDA/VUELTA</t>
        </is>
      </c>
    </row>
    <row r="9">
      <c r="A9" t="inlineStr">
        <is>
          <t>Huelva - Jaén</t>
        </is>
      </c>
      <c r="B9" t="n">
        <v>280</v>
      </c>
      <c r="C9" t="inlineStr">
        <is>
          <t>Autovía</t>
        </is>
      </c>
      <c r="D9">
        <f>$B$5</f>
        <v/>
      </c>
      <c r="E9" s="10">
        <f>B9*D9/100</f>
        <v/>
      </c>
      <c r="F9" s="3">
        <f>E9*$B$4</f>
        <v/>
      </c>
      <c r="G9" s="3">
        <f>F9*2</f>
        <v/>
      </c>
    </row>
    <row r="10">
      <c r="A10" t="inlineStr">
        <is>
          <t>Huelva - Madrid</t>
        </is>
      </c>
      <c r="B10" t="n">
        <v>530</v>
      </c>
      <c r="C10" t="inlineStr">
        <is>
          <t>Autopista</t>
        </is>
      </c>
      <c r="D10">
        <f>$B$5</f>
        <v/>
      </c>
      <c r="E10" s="10">
        <f>B10*D10/100</f>
        <v/>
      </c>
      <c r="F10" s="3">
        <f>E10*$B$4</f>
        <v/>
      </c>
      <c r="G10" s="3">
        <f>F10*2</f>
        <v/>
      </c>
    </row>
    <row r="11">
      <c r="A11" t="inlineStr">
        <is>
          <t>Huelva - Marbella (Bentley)</t>
        </is>
      </c>
      <c r="B11" t="n">
        <v>280</v>
      </c>
      <c r="C11" t="inlineStr">
        <is>
          <t>Autopista</t>
        </is>
      </c>
      <c r="D11">
        <f>$B$5</f>
        <v/>
      </c>
      <c r="E11" s="10">
        <f>B11*D11/100</f>
        <v/>
      </c>
      <c r="F11" s="3">
        <f>E11*$B$4</f>
        <v/>
      </c>
      <c r="G11" s="3">
        <f>F11*2</f>
        <v/>
      </c>
    </row>
    <row r="12">
      <c r="A12" t="inlineStr">
        <is>
          <t>Huelva - Sevilla</t>
        </is>
      </c>
      <c r="B12" t="n">
        <v>90</v>
      </c>
      <c r="C12" t="inlineStr">
        <is>
          <t>Autovía</t>
        </is>
      </c>
      <c r="D12">
        <f>$B$5</f>
        <v/>
      </c>
      <c r="E12" s="10">
        <f>B12*D12/100</f>
        <v/>
      </c>
      <c r="F12" s="3">
        <f>E12*$B$4</f>
        <v/>
      </c>
      <c r="G12" s="3">
        <f>F12*2</f>
        <v/>
      </c>
    </row>
    <row r="13">
      <c r="A13" t="inlineStr">
        <is>
          <t>Huelva - Cádiz</t>
        </is>
      </c>
      <c r="B13" t="n">
        <v>120</v>
      </c>
      <c r="C13" t="inlineStr">
        <is>
          <t>Autovía</t>
        </is>
      </c>
      <c r="D13">
        <f>$B$5</f>
        <v/>
      </c>
      <c r="E13" s="10">
        <f>B13*D13/100</f>
        <v/>
      </c>
      <c r="F13" s="3">
        <f>E13*$B$4</f>
        <v/>
      </c>
      <c r="G13" s="3">
        <f>F13*2</f>
        <v/>
      </c>
    </row>
    <row r="14">
      <c r="A14" t="inlineStr">
        <is>
          <t>Uso urbano (100 km)</t>
        </is>
      </c>
      <c r="B14" t="n">
        <v>100</v>
      </c>
      <c r="C14" t="inlineStr">
        <is>
          <t>Ciudad</t>
        </is>
      </c>
      <c r="D14">
        <f>$B$6</f>
        <v/>
      </c>
      <c r="E14" s="10">
        <f>B14*D14/100</f>
        <v/>
      </c>
      <c r="F14" s="3">
        <f>E14*$B$4</f>
        <v/>
      </c>
      <c r="G14" s="3">
        <f>F14</f>
        <v/>
      </c>
    </row>
  </sheetData>
  <mergeCells count="2">
    <mergeCell ref="A3:B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  <col width="18" customWidth="1" min="5" max="5"/>
    <col width="50" customWidth="1" min="6" max="6"/>
  </cols>
  <sheetData>
    <row r="1">
      <c r="A1" s="1" t="inlineStr">
        <is>
          <t>CALENDARIO DE MANTENIMIENTO PREVENTIVO</t>
        </is>
      </c>
    </row>
    <row r="3">
      <c r="A3" s="2" t="inlineStr">
        <is>
          <t>COMPONENTE</t>
        </is>
      </c>
      <c r="B3" s="2" t="inlineStr">
        <is>
          <t>FRECUENCIA (km)</t>
        </is>
      </c>
      <c r="C3" s="2" t="inlineStr">
        <is>
          <t>FRECUENCIA (años)</t>
        </is>
      </c>
      <c r="D3" s="2" t="inlineStr">
        <is>
          <t>COSTE (€)</t>
        </is>
      </c>
      <c r="E3" s="2" t="inlineStr">
        <is>
          <t>¿PUEDES HACERLO?</t>
        </is>
      </c>
      <c r="F3" s="2" t="inlineStr">
        <is>
          <t>NOTAS</t>
        </is>
      </c>
    </row>
    <row r="4">
      <c r="A4" t="inlineStr">
        <is>
          <t>Aceite motor + filtro</t>
        </is>
      </c>
      <c r="B4" t="n">
        <v>15000</v>
      </c>
      <c r="C4" t="n">
        <v>1</v>
      </c>
      <c r="D4" s="11" t="n">
        <v>400</v>
      </c>
      <c r="E4" s="12" t="inlineStr">
        <is>
          <t>NO</t>
        </is>
      </c>
      <c r="F4" t="inlineStr">
        <is>
          <t>Requiere herramientas especiales</t>
        </is>
      </c>
    </row>
    <row r="5">
      <c r="A5" t="inlineStr">
        <is>
          <t>Filtro habitáculo</t>
        </is>
      </c>
      <c r="B5" t="n">
        <v>15000</v>
      </c>
      <c r="C5" t="n">
        <v>1</v>
      </c>
      <c r="D5" s="11" t="n">
        <v>30</v>
      </c>
      <c r="E5" s="13" t="inlineStr">
        <is>
          <t>SÍ</t>
        </is>
      </c>
      <c r="F5" t="inlineStr">
        <is>
          <t>Fácil - detrás guantera. AHORRO: 80€</t>
        </is>
      </c>
    </row>
    <row r="6">
      <c r="A6" t="inlineStr">
        <is>
          <t>Filtro aire motor</t>
        </is>
      </c>
      <c r="B6" t="n">
        <v>30000</v>
      </c>
      <c r="C6" t="n">
        <v>2</v>
      </c>
      <c r="D6" s="11" t="n">
        <v>50</v>
      </c>
      <c r="E6" s="13" t="inlineStr">
        <is>
          <t>SÍ</t>
        </is>
      </c>
      <c r="F6" t="inlineStr">
        <is>
          <t>Moderado. AHORRO: 100€</t>
        </is>
      </c>
    </row>
    <row r="7">
      <c r="A7" t="inlineStr">
        <is>
          <t>Filtro combustible</t>
        </is>
      </c>
      <c r="B7" t="n">
        <v>60000</v>
      </c>
      <c r="C7" t="n">
        <v>4</v>
      </c>
      <c r="D7" s="11" t="n">
        <v>80</v>
      </c>
      <c r="E7" s="12" t="inlineStr">
        <is>
          <t>NO</t>
        </is>
      </c>
      <c r="F7" t="inlineStr">
        <is>
          <t>Requiere desmontar depósito</t>
        </is>
      </c>
    </row>
    <row r="8">
      <c r="A8" t="inlineStr">
        <is>
          <t>Líquido frenos</t>
        </is>
      </c>
      <c r="B8" t="n">
        <v>30000</v>
      </c>
      <c r="C8" t="n">
        <v>2</v>
      </c>
      <c r="D8" s="11" t="n">
        <v>150</v>
      </c>
      <c r="E8" s="12" t="inlineStr">
        <is>
          <t>NO</t>
        </is>
      </c>
      <c r="F8" t="inlineStr">
        <is>
          <t>Requiere purgado especializado</t>
        </is>
      </c>
    </row>
    <row r="9">
      <c r="A9" t="inlineStr">
        <is>
          <t>Pastillas freno delanteras</t>
        </is>
      </c>
      <c r="B9" t="n">
        <v>35000</v>
      </c>
      <c r="C9" t="n">
        <v>3.5</v>
      </c>
      <c r="D9" s="11" t="n">
        <v>350</v>
      </c>
      <c r="E9" s="12" t="inlineStr">
        <is>
          <t>NO</t>
        </is>
      </c>
      <c r="F9" t="inlineStr">
        <is>
          <t>Seguridad crítica - taller</t>
        </is>
      </c>
    </row>
    <row r="10">
      <c r="A10" t="inlineStr">
        <is>
          <t>Pastillas freno traseras</t>
        </is>
      </c>
      <c r="B10" t="n">
        <v>55000</v>
      </c>
      <c r="C10" t="n">
        <v>5.5</v>
      </c>
      <c r="D10" s="11" t="n">
        <v>280</v>
      </c>
      <c r="E10" s="12" t="inlineStr">
        <is>
          <t>NO</t>
        </is>
      </c>
      <c r="F10" t="inlineStr">
        <is>
          <t>Seguridad crítica - taller</t>
        </is>
      </c>
    </row>
    <row r="11">
      <c r="A11" t="inlineStr">
        <is>
          <t>Discos freno delanteros</t>
        </is>
      </c>
      <c r="B11" t="n">
        <v>70000</v>
      </c>
      <c r="C11" t="n">
        <v>7</v>
      </c>
      <c r="D11" s="11" t="n">
        <v>1000</v>
      </c>
      <c r="E11" s="12" t="inlineStr">
        <is>
          <t>NO</t>
        </is>
      </c>
      <c r="F11" t="inlineStr">
        <is>
          <t>Junto con pastillas</t>
        </is>
      </c>
    </row>
    <row r="12">
      <c r="A12" t="inlineStr">
        <is>
          <t>Discos freno traseros</t>
        </is>
      </c>
      <c r="B12" t="n">
        <v>90000</v>
      </c>
      <c r="C12" t="n">
        <v>9</v>
      </c>
      <c r="D12" s="11" t="n">
        <v>700</v>
      </c>
      <c r="E12" s="12" t="inlineStr">
        <is>
          <t>NO</t>
        </is>
      </c>
      <c r="F12" t="inlineStr">
        <is>
          <t>Junto con pastillas</t>
        </is>
      </c>
    </row>
    <row r="13">
      <c r="A13" t="inlineStr">
        <is>
          <t>Bujías (12 unidades)</t>
        </is>
      </c>
      <c r="B13" t="n">
        <v>60000</v>
      </c>
      <c r="C13" t="n">
        <v>4</v>
      </c>
      <c r="D13" s="11" t="n">
        <v>600</v>
      </c>
      <c r="E13" s="12" t="inlineStr">
        <is>
          <t>NO</t>
        </is>
      </c>
      <c r="F13" t="inlineStr">
        <is>
          <t>Motor W12 complejo</t>
        </is>
      </c>
    </row>
    <row r="14">
      <c r="A14" t="inlineStr">
        <is>
          <t>Batería AGM</t>
        </is>
      </c>
      <c r="B14" t="n">
        <v>60000</v>
      </c>
      <c r="C14" t="n">
        <v>5</v>
      </c>
      <c r="D14" s="11" t="n">
        <v>280</v>
      </c>
      <c r="E14" s="12" t="inlineStr">
        <is>
          <t>NO</t>
        </is>
      </c>
      <c r="F14" t="inlineStr">
        <is>
          <t>Requiere programación electrónica</t>
        </is>
      </c>
    </row>
    <row r="15">
      <c r="A15" t="inlineStr">
        <is>
          <t>Líquido refrigerante</t>
        </is>
      </c>
      <c r="B15" t="n">
        <v>60000</v>
      </c>
      <c r="C15" t="n">
        <v>4</v>
      </c>
      <c r="D15" s="11" t="n">
        <v>200</v>
      </c>
      <c r="E15" s="12" t="inlineStr">
        <is>
          <t>NO</t>
        </is>
      </c>
      <c r="F15" t="inlineStr">
        <is>
          <t>Sistema complejo</t>
        </is>
      </c>
    </row>
    <row r="16">
      <c r="A16" t="inlineStr">
        <is>
          <t>Neumáticos (4 unidades)</t>
        </is>
      </c>
      <c r="B16" t="n">
        <v>35000</v>
      </c>
      <c r="C16" t="n">
        <v>3.5</v>
      </c>
      <c r="D16" s="11" t="n">
        <v>1400</v>
      </c>
      <c r="E16" s="12" t="inlineStr">
        <is>
          <t>NO</t>
        </is>
      </c>
      <c r="F16" t="inlineStr">
        <is>
          <t>Montaje especializado</t>
        </is>
      </c>
    </row>
    <row r="17">
      <c r="A17" t="inlineStr">
        <is>
          <t>Revisión suspensión neumática</t>
        </is>
      </c>
      <c r="B17" t="n">
        <v>15000</v>
      </c>
      <c r="C17" t="n">
        <v>1</v>
      </c>
      <c r="D17" s="11" t="n">
        <v>0</v>
      </c>
      <c r="E17" s="12" t="inlineStr">
        <is>
          <t>NO</t>
        </is>
      </c>
      <c r="F17" t="inlineStr">
        <is>
          <t>Incluido en Service A/B</t>
        </is>
      </c>
    </row>
    <row r="18">
      <c r="A18" t="inlineStr">
        <is>
          <t>Limpieza inyectores</t>
        </is>
      </c>
      <c r="B18" t="n">
        <v>60000</v>
      </c>
      <c r="C18" t="n">
        <v>4</v>
      </c>
      <c r="D18" s="11" t="n">
        <v>400</v>
      </c>
      <c r="E18" s="12" t="inlineStr">
        <is>
          <t>NO</t>
        </is>
      </c>
      <c r="F18" t="inlineStr">
        <is>
          <t>Servicio especializado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REGISTRO DE GASTOS MENSUALES</t>
        </is>
      </c>
    </row>
    <row r="2">
      <c r="A2" s="14" t="inlineStr">
        <is>
          <t>Registra aquí tus gastos reales mes a mes</t>
        </is>
      </c>
    </row>
    <row r="3">
      <c r="A3" s="2" t="inlineStr">
        <is>
          <t>MES</t>
        </is>
      </c>
      <c r="B3" s="2" t="inlineStr">
        <is>
          <t>COMBUSTIBLE</t>
        </is>
      </c>
      <c r="C3" s="2" t="inlineStr">
        <is>
          <t>MANTENIMIENTO</t>
        </is>
      </c>
      <c r="D3" s="2" t="inlineStr">
        <is>
          <t>NEUMÁTICOS</t>
        </is>
      </c>
      <c r="E3" s="2" t="inlineStr">
        <is>
          <t>SEGURO</t>
        </is>
      </c>
      <c r="F3" s="2" t="inlineStr">
        <is>
          <t>IMPUESTOS</t>
        </is>
      </c>
      <c r="G3" s="2" t="inlineStr">
        <is>
          <t>OTROS</t>
        </is>
      </c>
      <c r="H3" s="2" t="inlineStr">
        <is>
          <t>TOTAL</t>
        </is>
      </c>
    </row>
    <row r="4">
      <c r="A4" t="inlineStr">
        <is>
          <t>Enero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>
        <f>SUM(B4:G4)</f>
        <v/>
      </c>
    </row>
    <row r="5">
      <c r="A5" t="inlineStr">
        <is>
          <t>Febrero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>
        <f>SUM(B5:G5)</f>
        <v/>
      </c>
    </row>
    <row r="6">
      <c r="A6" t="inlineStr">
        <is>
          <t>Marzo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>
        <f>SUM(B6:G6)</f>
        <v/>
      </c>
    </row>
    <row r="7">
      <c r="A7" t="inlineStr">
        <is>
          <t>Abril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>
        <f>SUM(B7:G7)</f>
        <v/>
      </c>
    </row>
    <row r="8">
      <c r="A8" t="inlineStr">
        <is>
          <t>Mayo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>
        <f>SUM(B8:G8)</f>
        <v/>
      </c>
    </row>
    <row r="9">
      <c r="A9" t="inlineStr">
        <is>
          <t>Junio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>
        <f>SUM(B9:G9)</f>
        <v/>
      </c>
    </row>
    <row r="10">
      <c r="A10" t="inlineStr">
        <is>
          <t>Julio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>
        <f>SUM(B10:G10)</f>
        <v/>
      </c>
    </row>
    <row r="11">
      <c r="A11" t="inlineStr">
        <is>
          <t>Agosto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>
        <f>SUM(B11:G11)</f>
        <v/>
      </c>
    </row>
    <row r="12">
      <c r="A12" t="inlineStr">
        <is>
          <t>Septiembre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>
        <f>SUM(B12:G12)</f>
        <v/>
      </c>
    </row>
    <row r="13">
      <c r="A13" t="inlineStr">
        <is>
          <t>Octubre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>
        <f>SUM(B13:G13)</f>
        <v/>
      </c>
    </row>
    <row r="14">
      <c r="A14" t="inlineStr">
        <is>
          <t>Noviembre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>
        <f>SUM(B14:G14)</f>
        <v/>
      </c>
    </row>
    <row r="15">
      <c r="A15" t="inlineStr">
        <is>
          <t>Diciembre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>
        <f>SUM(B15:G15)</f>
        <v/>
      </c>
    </row>
    <row r="16">
      <c r="A16" t="inlineStr">
        <is>
          <t>TOTAL AÑO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  <c r="G16" s="5">
        <f>SUM(G4:G15)</f>
        <v/>
      </c>
      <c r="H16" s="5">
        <f>SUM(H4:H15)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COSTE SEGÚN KILOMETRAJE ANUAL</t>
        </is>
      </c>
    </row>
    <row r="3">
      <c r="A3" t="inlineStr">
        <is>
          <t>Precio gasolina 98 (€/L):</t>
        </is>
      </c>
      <c r="B3" t="n">
        <v>1.75</v>
      </c>
    </row>
    <row r="4">
      <c r="A4" t="inlineStr">
        <is>
          <t>Consumo promedio (L/100km):</t>
        </is>
      </c>
      <c r="B4" t="n">
        <v>18</v>
      </c>
    </row>
    <row r="6">
      <c r="A6" s="2" t="inlineStr">
        <is>
          <t>KM ANUALES</t>
        </is>
      </c>
      <c r="B6" s="2" t="inlineStr">
        <is>
          <t>COMBUSTIBLE</t>
        </is>
      </c>
      <c r="C6" s="2" t="inlineStr">
        <is>
          <t>OTROS GASTOS</t>
        </is>
      </c>
      <c r="D6" s="2" t="inlineStr">
        <is>
          <t>TOTAL AÑO</t>
        </is>
      </c>
      <c r="E6" s="2" t="inlineStr">
        <is>
          <t>COSTE/KM</t>
        </is>
      </c>
    </row>
    <row r="7">
      <c r="A7" s="15" t="n">
        <v>5000</v>
      </c>
      <c r="B7" s="3">
        <f>5000*$B$4/100*$B$3</f>
        <v/>
      </c>
      <c r="C7" s="3" t="n">
        <v>5000</v>
      </c>
      <c r="D7" s="3">
        <f>B7+C7</f>
        <v/>
      </c>
      <c r="E7" s="16">
        <f>D7/A7</f>
        <v/>
      </c>
    </row>
    <row r="8">
      <c r="A8" s="15" t="n">
        <v>7500</v>
      </c>
      <c r="B8" s="3">
        <f>7500*$B$4/100*$B$3</f>
        <v/>
      </c>
      <c r="C8" s="3" t="n">
        <v>5000</v>
      </c>
      <c r="D8" s="3">
        <f>B8+C8</f>
        <v/>
      </c>
      <c r="E8" s="16">
        <f>D8/A8</f>
        <v/>
      </c>
    </row>
    <row r="9">
      <c r="A9" s="15" t="n">
        <v>10000</v>
      </c>
      <c r="B9" s="3">
        <f>10000*$B$4/100*$B$3</f>
        <v/>
      </c>
      <c r="C9" s="3" t="n">
        <v>5000</v>
      </c>
      <c r="D9" s="3">
        <f>B9+C9</f>
        <v/>
      </c>
      <c r="E9" s="16">
        <f>D9/A9</f>
        <v/>
      </c>
    </row>
    <row r="10">
      <c r="A10" s="15" t="n">
        <v>12500</v>
      </c>
      <c r="B10" s="3">
        <f>12500*$B$4/100*$B$3</f>
        <v/>
      </c>
      <c r="C10" s="3" t="n">
        <v>5000</v>
      </c>
      <c r="D10" s="3">
        <f>B10+C10</f>
        <v/>
      </c>
      <c r="E10" s="16">
        <f>D10/A10</f>
        <v/>
      </c>
    </row>
    <row r="11">
      <c r="A11" s="15" t="n">
        <v>15000</v>
      </c>
      <c r="B11" s="3">
        <f>15000*$B$4/100*$B$3</f>
        <v/>
      </c>
      <c r="C11" s="3" t="n">
        <v>5000</v>
      </c>
      <c r="D11" s="3">
        <f>B11+C11</f>
        <v/>
      </c>
      <c r="E11" s="16">
        <f>D11/A11</f>
        <v/>
      </c>
    </row>
    <row r="12">
      <c r="A12" s="15" t="n">
        <v>20000</v>
      </c>
      <c r="B12" s="3">
        <f>20000*$B$4/100*$B$3</f>
        <v/>
      </c>
      <c r="C12" s="3" t="n">
        <v>5000</v>
      </c>
      <c r="D12" s="3">
        <f>B12+C12</f>
        <v/>
      </c>
      <c r="E12" s="16">
        <f>D12/A12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INFORMACIÓN ÚTIL Y CONTACTOS</t>
        </is>
      </c>
    </row>
    <row r="3">
      <c r="A3" s="8" t="inlineStr">
        <is>
          <t>TALLERES</t>
        </is>
      </c>
    </row>
    <row r="4">
      <c r="A4" t="inlineStr">
        <is>
          <t>Bentley Málaga (Oficial)</t>
        </is>
      </c>
      <c r="B4" t="inlineStr">
        <is>
          <t>Tel: +34 952 XXX XXX</t>
        </is>
      </c>
    </row>
    <row r="5">
      <c r="A5" t="inlineStr">
        <is>
          <t>Bentley Madrid (Oficial)</t>
        </is>
      </c>
      <c r="B5" t="inlineStr">
        <is>
          <t>Tel: +34 91 XXX XXX</t>
        </is>
      </c>
    </row>
    <row r="6">
      <c r="A6" t="inlineStr"/>
      <c r="B6" t="inlineStr"/>
    </row>
    <row r="7">
      <c r="A7" t="inlineStr">
        <is>
          <t>Taller VAG especializado (buscar)</t>
        </is>
      </c>
      <c r="B7" t="inlineStr">
        <is>
          <t>Experiencia con W12/Audi A8</t>
        </is>
      </c>
    </row>
    <row r="9">
      <c r="A9" s="8" t="inlineStr">
        <is>
          <t>PROVEEDORES DE PIEZAS</t>
        </is>
      </c>
    </row>
    <row r="10">
      <c r="A10" t="inlineStr">
        <is>
          <t>Bosch Car Service</t>
        </is>
      </c>
      <c r="B10" t="inlineStr">
        <is>
          <t>Filtros, bujías, frenos</t>
        </is>
      </c>
    </row>
    <row r="11">
      <c r="A11" t="inlineStr">
        <is>
          <t>Autodoc.es</t>
        </is>
      </c>
      <c r="B11" t="inlineStr">
        <is>
          <t>Piezas online económicas</t>
        </is>
      </c>
    </row>
    <row r="12">
      <c r="A12" t="inlineStr">
        <is>
          <t>Oscaro.es</t>
        </is>
      </c>
      <c r="B12" t="inlineStr">
        <is>
          <t>Alternativa online</t>
        </is>
      </c>
    </row>
    <row r="15">
      <c r="A15" s="17" t="inlineStr">
        <is>
          <t>CONSEJOS DE MANTENIMIENTO</t>
        </is>
      </c>
    </row>
    <row r="16">
      <c r="A16" t="inlineStr">
        <is>
          <t>✓ Revisar nivel de aceite cada 1000 km</t>
        </is>
      </c>
    </row>
    <row r="17">
      <c r="A17" t="inlineStr">
        <is>
          <t>✓ Cambiar aceite cada 12 meses (incluso con bajo kilometraje)</t>
        </is>
      </c>
    </row>
    <row r="18">
      <c r="A18" t="inlineStr">
        <is>
          <t>✓ Usar solo gasolina 98 octanos</t>
        </is>
      </c>
    </row>
    <row r="19">
      <c r="A19" t="inlineStr">
        <is>
          <t>✓ Dejar calentar motor 1-2 min antes de acelerar</t>
        </is>
      </c>
    </row>
    <row r="20">
      <c r="A20" t="inlineStr">
        <is>
          <t>✓ No apagar motor inmediatamente tras viaje largo (deja 30 seg)</t>
        </is>
      </c>
    </row>
    <row r="21">
      <c r="A21" t="inlineStr">
        <is>
          <t>✓ Revisar presión neumáticos mensualmente (2.5 bar aprox)</t>
        </is>
      </c>
    </row>
    <row r="22">
      <c r="A22" t="inlineStr">
        <is>
          <t>✓ Lavar regularmente (sal y suciedad dañan pintura)</t>
        </is>
      </c>
    </row>
    <row r="23">
      <c r="A23" t="inlineStr">
        <is>
          <t>✓ Mantener libro de mantenimiento actualizado</t>
        </is>
      </c>
    </row>
    <row r="24">
      <c r="A24" t="inlineStr">
        <is>
          <t>✓ Guardar todas las facturas de reparaciones</t>
        </is>
      </c>
    </row>
    <row r="25">
      <c r="A25" t="inlineStr">
        <is>
          <t>✓ Revisar suspensión neumática en cada revisión</t>
        </is>
      </c>
    </row>
  </sheetData>
  <mergeCells count="14">
    <mergeCell ref="A20:B20"/>
    <mergeCell ref="A21:B21"/>
    <mergeCell ref="A16:B16"/>
    <mergeCell ref="A24:B24"/>
    <mergeCell ref="A15:B15"/>
    <mergeCell ref="A25:B25"/>
    <mergeCell ref="A19:B19"/>
    <mergeCell ref="A23:B23"/>
    <mergeCell ref="A1:B1"/>
    <mergeCell ref="A17:B17"/>
    <mergeCell ref="A9:B9"/>
    <mergeCell ref="A18:B18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2025-10-23T22:11:23Z</dcterms:created>
  <dcterms:modified xmlns:dcterms="http://purl.org/dc/terms/" xmlns:xsi="http://www.w3.org/2001/XMLSchema-instance" xsi:type="dcterms:W3CDTF">2025-10-23T22:11:24Z</dcterms:modified>
</cp:coreProperties>
</file>